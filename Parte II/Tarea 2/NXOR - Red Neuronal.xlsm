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dragonnomada/Documents/MCMAI/25p/Taller de Modelado Matemático II/Parte II/Tarea 2/"/>
    </mc:Choice>
  </mc:AlternateContent>
  <xr:revisionPtr revIDLastSave="0" documentId="13_ncr:1_{79CD9465-FC15-F94D-BB5A-C01B68CD68AD}" xr6:coauthVersionLast="47" xr6:coauthVersionMax="47" xr10:uidLastSave="{00000000-0000-0000-0000-000000000000}"/>
  <bookViews>
    <workbookView xWindow="380" yWindow="500" windowWidth="28040" windowHeight="16100" xr2:uid="{B6D7D481-A5BB-9A41-9E39-9FA2A0066FC2}"/>
  </bookViews>
  <sheets>
    <sheet name="Hoja1" sheetId="1" r:id="rId1"/>
    <sheet name="Hoja2" sheetId="2" r:id="rId2"/>
  </sheets>
  <definedNames>
    <definedName name="solver_adj" localSheetId="0" hidden="1">Hoja1!$I$22,Hoja1!$I$24,Hoja1!$I$26,Hoja1!$I$30,Hoja1!$I$32,Hoja1!$I$34,Hoja1!$I$38,Hoja1!$I$40,Hoja1!$I$42,Hoja1!$L$22,Hoja1!$L$24,Hoja1!$L$26,Hoja1!$L$28,Hoja1!$L$32,Hoja1!$L$34,Hoja1!$L$36,Hoja1!$L$38,Hoja1!$O$22,Hoja1!$O$24,Hoja1!$O$26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itr" localSheetId="0" hidden="1">2147483647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opt" localSheetId="0" hidden="1">Hoja1!$J$53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2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2" i="1" l="1"/>
  <c r="J49" i="1"/>
  <c r="G21" i="1"/>
  <c r="G24" i="1"/>
  <c r="E20" i="1"/>
  <c r="E21" i="1"/>
  <c r="E22" i="1"/>
  <c r="J38" i="1" l="1"/>
  <c r="J40" i="1" s="1"/>
  <c r="J22" i="1"/>
  <c r="J24" i="1" s="1"/>
  <c r="J30" i="1"/>
  <c r="J32" i="1" s="1"/>
  <c r="M32" i="1" l="1"/>
  <c r="M34" i="1" s="1"/>
  <c r="M22" i="1"/>
  <c r="M24" i="1" s="1"/>
  <c r="P22" i="1" l="1"/>
  <c r="P24" i="1" s="1"/>
  <c r="J48" i="1" s="1"/>
  <c r="J51" i="1" s="1"/>
  <c r="J53" i="1" s="1"/>
</calcChain>
</file>

<file path=xl/sharedStrings.xml><?xml version="1.0" encoding="utf-8"?>
<sst xmlns="http://schemas.openxmlformats.org/spreadsheetml/2006/main" count="142" uniqueCount="53">
  <si>
    <t>Red neuronal para NXOR</t>
  </si>
  <si>
    <t>Profesor</t>
  </si>
  <si>
    <t>Alumno</t>
  </si>
  <si>
    <t>Alan Badillo Salas</t>
  </si>
  <si>
    <t>Universidad Autónoma Metropolitana</t>
  </si>
  <si>
    <t>Unidad Iztapalapa</t>
  </si>
  <si>
    <t>Maestría en Matemáticas Aplicadas e Industriales</t>
  </si>
  <si>
    <t>Taller de Modelado Matemático II</t>
  </si>
  <si>
    <t>Parte II</t>
  </si>
  <si>
    <t>Trimestre 25-P</t>
  </si>
  <si>
    <t>Compuerta</t>
  </si>
  <si>
    <t>NXOR</t>
  </si>
  <si>
    <t>y</t>
  </si>
  <si>
    <t>x1</t>
  </si>
  <si>
    <t>x2</t>
  </si>
  <si>
    <t>XOR</t>
  </si>
  <si>
    <t>-</t>
  </si>
  <si>
    <t>RED NEURONAL DE 2 CAPAS OCULTAS</t>
  </si>
  <si>
    <t>CAPAS</t>
  </si>
  <si>
    <t>ENTRADA</t>
  </si>
  <si>
    <t>OCULTA 1</t>
  </si>
  <si>
    <t>OCULTA 2</t>
  </si>
  <si>
    <t>SALIDA</t>
  </si>
  <si>
    <t>MUESTRA</t>
  </si>
  <si>
    <t>b0</t>
  </si>
  <si>
    <t>b1</t>
  </si>
  <si>
    <t>b2</t>
  </si>
  <si>
    <t>b0 + b1 * x1 + b2 * x2</t>
  </si>
  <si>
    <t>Activación</t>
  </si>
  <si>
    <t>ReLU</t>
  </si>
  <si>
    <t>Nurona 1.1</t>
  </si>
  <si>
    <t>Nurona 1.2</t>
  </si>
  <si>
    <t>Nurona 1.3</t>
  </si>
  <si>
    <t>Nurona 2.1</t>
  </si>
  <si>
    <t>Nurona 2.2</t>
  </si>
  <si>
    <t>Nurona S.1</t>
  </si>
  <si>
    <t>b3</t>
  </si>
  <si>
    <t>z11</t>
  </si>
  <si>
    <t>z12</t>
  </si>
  <si>
    <t>z13</t>
  </si>
  <si>
    <t>z21</t>
  </si>
  <si>
    <t>z22</t>
  </si>
  <si>
    <t>b0 + b1 * z11 + b2 * z12 + b3 * z13</t>
  </si>
  <si>
    <t>Dr. Joaquín Delgado Fernández</t>
  </si>
  <si>
    <t>b0 + b1 * z21 + b2 * z22</t>
  </si>
  <si>
    <t>SIGMOIDE</t>
  </si>
  <si>
    <t>Error</t>
  </si>
  <si>
    <t>Predicción</t>
  </si>
  <si>
    <t>Real</t>
  </si>
  <si>
    <t>Residuo</t>
  </si>
  <si>
    <t>MSE</t>
  </si>
  <si>
    <t>SOLVER</t>
  </si>
  <si>
    <t>Épocas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</si>
</sst>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0000000000000"/>
  </numFmts>
  <fonts count="7" x14ac:knownFonts="1">
    <font>
      <sz val="12"/>
      <color theme="1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theme="0"/>
      <name val="Aptos Narrow"/>
      <family val="2"/>
      <scheme val="minor"/>
    </font>
    <font>
      <b/>
      <sz val="12"/>
      <color theme="1"/>
      <name val="Aptos Narrow"/>
      <scheme val="minor"/>
    </font>
    <font>
      <b/>
      <sz val="12"/>
      <color theme="0"/>
      <name val="Aptos Narrow"/>
      <scheme val="minor"/>
    </font>
    <font>
      <sz val="12"/>
      <color rgb="FF000000"/>
      <name val="Aptos Narrow"/>
      <family val="2"/>
      <scheme val="minor"/>
    </font>
    <font>
      <sz val="12"/>
      <name val="Aptos Narrow"/>
    </font>
  </fonts>
  <fills count="2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CEEF"/>
        <bgColor rgb="FF000000"/>
      </patternFill>
    </fill>
    <fill>
      <patternFill patternType="solid">
        <fgColor rgb="FFCAEDFB"/>
        <bgColor rgb="FF000000"/>
      </patternFill>
    </fill>
    <fill>
      <patternFill patternType="solid">
        <fgColor rgb="FFF2F2F2"/>
        <bgColor rgb="FF000000"/>
      </patternFill>
    </fill>
    <fill>
      <patternFill patternType="solid">
        <fgColor rgb="FFC1F0C8"/>
        <bgColor rgb="FF000000"/>
      </patternFill>
    </fill>
    <fill>
      <patternFill patternType="solid">
        <fgColor rgb="FFFBE2D5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206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0" fillId="7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0" borderId="1" xfId="0" applyBorder="1"/>
    <xf numFmtId="0" fontId="0" fillId="11" borderId="1" xfId="0" applyFill="1" applyBorder="1" applyAlignment="1">
      <alignment horizontal="center"/>
    </xf>
    <xf numFmtId="0" fontId="0" fillId="12" borderId="1" xfId="0" applyFill="1" applyBorder="1" applyAlignment="1">
      <alignment horizontal="center"/>
    </xf>
    <xf numFmtId="0" fontId="5" fillId="14" borderId="1" xfId="0" applyFont="1" applyFill="1" applyBorder="1" applyAlignment="1">
      <alignment horizontal="center"/>
    </xf>
    <xf numFmtId="0" fontId="5" fillId="15" borderId="1" xfId="0" applyFont="1" applyFill="1" applyBorder="1" applyAlignment="1">
      <alignment horizontal="center"/>
    </xf>
    <xf numFmtId="0" fontId="5" fillId="16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17" borderId="1" xfId="0" applyFont="1" applyFill="1" applyBorder="1" applyAlignment="1">
      <alignment horizontal="center"/>
    </xf>
    <xf numFmtId="0" fontId="5" fillId="18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13" borderId="1" xfId="0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13" borderId="1" xfId="0" applyFill="1" applyBorder="1"/>
    <xf numFmtId="0" fontId="0" fillId="7" borderId="1" xfId="0" applyFill="1" applyBorder="1"/>
    <xf numFmtId="0" fontId="0" fillId="6" borderId="1" xfId="0" applyFill="1" applyBorder="1"/>
    <xf numFmtId="164" fontId="0" fillId="0" borderId="1" xfId="0" applyNumberFormat="1" applyBorder="1"/>
    <xf numFmtId="0" fontId="1" fillId="0" borderId="1" xfId="0" applyFont="1" applyBorder="1"/>
    <xf numFmtId="165" fontId="0" fillId="8" borderId="1" xfId="0" applyNumberFormat="1" applyFill="1" applyBorder="1"/>
    <xf numFmtId="0" fontId="0" fillId="21" borderId="1" xfId="0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2" fillId="20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19" borderId="1" xfId="0" applyFill="1" applyBorder="1" applyAlignment="1">
      <alignment horizontal="center"/>
    </xf>
    <xf numFmtId="0" fontId="5" fillId="14" borderId="1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Border="1"/>
    <xf numFmtId="0" fontId="3" fillId="0" borderId="0" xfId="0" applyFont="1" applyBorder="1" applyAlignment="1">
      <alignment horizontal="center"/>
    </xf>
    <xf numFmtId="0" fontId="3" fillId="5" borderId="0" xfId="0" applyFont="1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10" borderId="0" xfId="0" applyFill="1" applyBorder="1" applyAlignment="1">
      <alignment horizontal="center"/>
    </xf>
    <xf numFmtId="0" fontId="0" fillId="9" borderId="0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5" fillId="0" borderId="0" xfId="0" applyFon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0" fontId="4" fillId="4" borderId="7" xfId="0" applyFont="1" applyFill="1" applyBorder="1" applyAlignment="1">
      <alignment horizontal="center"/>
    </xf>
    <xf numFmtId="0" fontId="4" fillId="4" borderId="8" xfId="0" applyFont="1" applyFill="1" applyBorder="1" applyAlignment="1">
      <alignment horizontal="center"/>
    </xf>
    <xf numFmtId="0" fontId="4" fillId="4" borderId="9" xfId="0" applyFont="1" applyFill="1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5" borderId="10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  <xf numFmtId="0" fontId="0" fillId="8" borderId="10" xfId="0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2" fillId="22" borderId="0" xfId="0" applyFont="1" applyFill="1" applyBorder="1" applyAlignment="1">
      <alignment horizontal="center"/>
    </xf>
    <xf numFmtId="0" fontId="2" fillId="0" borderId="0" xfId="0" applyFont="1" applyFill="1" applyBorder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Style="combo" dx="15" fmlaLink="$C$26" fmlaRange="$A$19:$A$22" noThreeD="1" sel="4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812800</xdr:colOff>
          <xdr:row>24</xdr:row>
          <xdr:rowOff>190500</xdr:rowOff>
        </xdr:from>
        <xdr:to>
          <xdr:col>3</xdr:col>
          <xdr:colOff>38100</xdr:colOff>
          <xdr:row>26</xdr:row>
          <xdr:rowOff>50800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8374</xdr:colOff>
          <xdr:row>45</xdr:row>
          <xdr:rowOff>204456</xdr:rowOff>
        </xdr:from>
        <xdr:to>
          <xdr:col>15</xdr:col>
          <xdr:colOff>1530281</xdr:colOff>
          <xdr:row>47</xdr:row>
          <xdr:rowOff>179056</xdr:rowOff>
        </xdr:to>
        <xdr:sp macro="" textlink="">
          <xdr:nvSpPr>
            <xdr:cNvPr id="1027" name="Button 3" descr="Entrenar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3E540087-5C44-23D1-F5CF-94D58B719D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Entrenar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49</xdr:row>
          <xdr:rowOff>1721</xdr:rowOff>
        </xdr:from>
        <xdr:to>
          <xdr:col>15</xdr:col>
          <xdr:colOff>1524000</xdr:colOff>
          <xdr:row>50</xdr:row>
          <xdr:rowOff>185662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F837798E-696E-0979-4537-1A04C03C57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s-MX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Reiniciar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092257-9F5B-DC46-BF43-EE843BCAC511}">
  <sheetPr codeName="Hoja1"/>
  <dimension ref="A1:Q57"/>
  <sheetViews>
    <sheetView tabSelected="1" zoomScale="64" workbookViewId="0">
      <selection activeCell="E34" sqref="E34"/>
    </sheetView>
  </sheetViews>
  <sheetFormatPr baseColWidth="10" defaultRowHeight="16" x14ac:dyDescent="0.2"/>
  <cols>
    <col min="8" max="8" width="10.83203125" customWidth="1"/>
    <col min="10" max="10" width="21" customWidth="1"/>
    <col min="11" max="11" width="7.5" customWidth="1"/>
    <col min="13" max="13" width="32.5" customWidth="1"/>
    <col min="14" max="14" width="7.33203125" customWidth="1"/>
    <col min="16" max="16" width="23.1640625" customWidth="1"/>
  </cols>
  <sheetData>
    <row r="1" spans="1:17" x14ac:dyDescent="0.2">
      <c r="A1" s="46" t="s">
        <v>0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8"/>
    </row>
    <row r="2" spans="1:17" x14ac:dyDescent="0.2">
      <c r="A2" s="49"/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50"/>
    </row>
    <row r="3" spans="1:17" x14ac:dyDescent="0.2">
      <c r="A3" s="51" t="s">
        <v>4</v>
      </c>
      <c r="B3" s="36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52"/>
    </row>
    <row r="4" spans="1:17" x14ac:dyDescent="0.2">
      <c r="A4" s="53" t="s">
        <v>5</v>
      </c>
      <c r="B4" s="37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  <c r="Q4" s="54"/>
    </row>
    <row r="5" spans="1:17" x14ac:dyDescent="0.2">
      <c r="A5" s="49"/>
      <c r="B5" s="35"/>
      <c r="C5" s="35"/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50"/>
    </row>
    <row r="6" spans="1:17" x14ac:dyDescent="0.2">
      <c r="A6" s="55" t="s">
        <v>6</v>
      </c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56"/>
    </row>
    <row r="7" spans="1:17" x14ac:dyDescent="0.2">
      <c r="A7" s="49"/>
      <c r="B7" s="35"/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50"/>
    </row>
    <row r="8" spans="1:17" x14ac:dyDescent="0.2">
      <c r="A8" s="49"/>
      <c r="B8" s="31" t="s">
        <v>7</v>
      </c>
      <c r="C8" s="31"/>
      <c r="D8" s="31"/>
      <c r="E8" s="31"/>
      <c r="F8" s="31"/>
      <c r="G8" s="35"/>
      <c r="H8" s="35"/>
      <c r="I8" s="35"/>
      <c r="J8" s="35"/>
      <c r="K8" s="35"/>
      <c r="L8" s="35"/>
      <c r="M8" s="35"/>
      <c r="N8" s="35"/>
      <c r="O8" s="35"/>
      <c r="P8" s="35"/>
      <c r="Q8" s="50"/>
    </row>
    <row r="9" spans="1:17" x14ac:dyDescent="0.2">
      <c r="A9" s="49"/>
      <c r="B9" s="16" t="s">
        <v>8</v>
      </c>
      <c r="C9" s="30" t="s">
        <v>9</v>
      </c>
      <c r="D9" s="30"/>
      <c r="E9" s="30"/>
      <c r="F9" s="30"/>
      <c r="G9" s="35"/>
      <c r="H9" s="35"/>
      <c r="I9" s="35"/>
      <c r="J9" s="35"/>
      <c r="K9" s="35"/>
      <c r="L9" s="35"/>
      <c r="M9" s="35"/>
      <c r="N9" s="35"/>
      <c r="O9" s="35"/>
      <c r="P9" s="35"/>
      <c r="Q9" s="50"/>
    </row>
    <row r="10" spans="1:17" x14ac:dyDescent="0.2">
      <c r="A10" s="49"/>
      <c r="B10" s="25"/>
      <c r="C10" s="33"/>
      <c r="D10" s="33"/>
      <c r="E10" s="33"/>
      <c r="F10" s="26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50"/>
    </row>
    <row r="11" spans="1:17" x14ac:dyDescent="0.2">
      <c r="A11" s="49"/>
      <c r="B11" s="17" t="s">
        <v>1</v>
      </c>
      <c r="C11" s="30" t="s">
        <v>43</v>
      </c>
      <c r="D11" s="30"/>
      <c r="E11" s="30"/>
      <c r="F11" s="30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50"/>
    </row>
    <row r="12" spans="1:17" x14ac:dyDescent="0.2">
      <c r="A12" s="49"/>
      <c r="B12" s="18" t="s">
        <v>2</v>
      </c>
      <c r="C12" s="30" t="s">
        <v>3</v>
      </c>
      <c r="D12" s="30"/>
      <c r="E12" s="30"/>
      <c r="F12" s="30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50"/>
    </row>
    <row r="13" spans="1:17" x14ac:dyDescent="0.2">
      <c r="A13" s="49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50"/>
    </row>
    <row r="14" spans="1:17" x14ac:dyDescent="0.2">
      <c r="A14" s="49"/>
      <c r="B14" s="35"/>
      <c r="C14" s="35"/>
      <c r="D14" s="35"/>
      <c r="E14" s="35"/>
      <c r="F14" s="35"/>
      <c r="G14" s="60" t="s">
        <v>17</v>
      </c>
      <c r="H14" s="60"/>
      <c r="I14" s="60"/>
      <c r="J14" s="60"/>
      <c r="K14" s="60"/>
      <c r="L14" s="60"/>
      <c r="M14" s="60"/>
      <c r="N14" s="60"/>
      <c r="O14" s="60"/>
      <c r="P14" s="60"/>
      <c r="Q14" s="50"/>
    </row>
    <row r="15" spans="1:17" x14ac:dyDescent="0.2">
      <c r="A15" s="49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50"/>
    </row>
    <row r="16" spans="1:17" x14ac:dyDescent="0.2">
      <c r="A16" s="49"/>
      <c r="B16" s="39" t="s">
        <v>10</v>
      </c>
      <c r="C16" s="39"/>
      <c r="D16" s="40" t="s">
        <v>15</v>
      </c>
      <c r="E16" s="41" t="s">
        <v>11</v>
      </c>
      <c r="F16" s="35"/>
      <c r="G16" s="35" t="s">
        <v>18</v>
      </c>
      <c r="H16" s="35"/>
      <c r="I16" s="35"/>
      <c r="J16" s="35"/>
      <c r="K16" s="35"/>
      <c r="L16" s="35"/>
      <c r="M16" s="35"/>
      <c r="N16" s="35"/>
      <c r="O16" s="35"/>
      <c r="P16" s="35"/>
      <c r="Q16" s="50"/>
    </row>
    <row r="17" spans="1:17" x14ac:dyDescent="0.2">
      <c r="A17" s="49"/>
      <c r="B17" s="35"/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50"/>
    </row>
    <row r="18" spans="1:17" x14ac:dyDescent="0.2">
      <c r="A18" s="49"/>
      <c r="B18" s="1" t="s">
        <v>13</v>
      </c>
      <c r="C18" s="1" t="s">
        <v>14</v>
      </c>
      <c r="D18" s="2" t="s">
        <v>16</v>
      </c>
      <c r="E18" s="3" t="s">
        <v>12</v>
      </c>
      <c r="F18" s="35"/>
      <c r="G18" s="35" t="s">
        <v>19</v>
      </c>
      <c r="H18" s="35"/>
      <c r="I18" s="35" t="s">
        <v>20</v>
      </c>
      <c r="J18" s="35"/>
      <c r="K18" s="35"/>
      <c r="L18" s="35" t="s">
        <v>21</v>
      </c>
      <c r="M18" s="35"/>
      <c r="N18" s="35"/>
      <c r="O18" s="35" t="s">
        <v>22</v>
      </c>
      <c r="P18" s="35"/>
      <c r="Q18" s="50"/>
    </row>
    <row r="19" spans="1:17" x14ac:dyDescent="0.2">
      <c r="A19" s="49">
        <v>1</v>
      </c>
      <c r="B19" s="2">
        <v>0</v>
      </c>
      <c r="C19" s="2">
        <v>0</v>
      </c>
      <c r="D19" s="2">
        <v>0</v>
      </c>
      <c r="E19" s="2">
        <v>1</v>
      </c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50"/>
    </row>
    <row r="20" spans="1:17" x14ac:dyDescent="0.2">
      <c r="A20" s="49">
        <v>2</v>
      </c>
      <c r="B20" s="2">
        <v>0</v>
      </c>
      <c r="C20" s="2">
        <v>1</v>
      </c>
      <c r="D20" s="2">
        <v>1</v>
      </c>
      <c r="E20" s="2">
        <f t="shared" ref="E20:E22" si="0">1-D20</f>
        <v>0</v>
      </c>
      <c r="F20" s="35"/>
      <c r="G20" s="42" t="s">
        <v>13</v>
      </c>
      <c r="H20" s="35"/>
      <c r="I20" s="34" t="s">
        <v>30</v>
      </c>
      <c r="J20" s="34"/>
      <c r="K20" s="43"/>
      <c r="L20" s="32" t="s">
        <v>33</v>
      </c>
      <c r="M20" s="32"/>
      <c r="N20" s="44"/>
      <c r="O20" s="32" t="s">
        <v>35</v>
      </c>
      <c r="P20" s="32"/>
      <c r="Q20" s="50"/>
    </row>
    <row r="21" spans="1:17" x14ac:dyDescent="0.2">
      <c r="A21" s="49">
        <v>3</v>
      </c>
      <c r="B21" s="2">
        <v>1</v>
      </c>
      <c r="C21" s="2">
        <v>0</v>
      </c>
      <c r="D21" s="2">
        <v>1</v>
      </c>
      <c r="E21" s="2">
        <f t="shared" si="0"/>
        <v>0</v>
      </c>
      <c r="F21" s="35"/>
      <c r="G21" s="43">
        <f>VLOOKUP(C26,A19:C22,2)</f>
        <v>1</v>
      </c>
      <c r="H21" s="35"/>
      <c r="I21" s="5" t="s">
        <v>24</v>
      </c>
      <c r="J21" s="14" t="s">
        <v>27</v>
      </c>
      <c r="K21" s="43"/>
      <c r="L21" s="8" t="s">
        <v>24</v>
      </c>
      <c r="M21" s="9" t="s">
        <v>42</v>
      </c>
      <c r="N21" s="44"/>
      <c r="O21" s="8" t="s">
        <v>24</v>
      </c>
      <c r="P21" s="9" t="s">
        <v>44</v>
      </c>
      <c r="Q21" s="50"/>
    </row>
    <row r="22" spans="1:17" x14ac:dyDescent="0.2">
      <c r="A22" s="49">
        <v>4</v>
      </c>
      <c r="B22" s="2">
        <v>1</v>
      </c>
      <c r="C22" s="2">
        <v>1</v>
      </c>
      <c r="D22" s="2">
        <v>0</v>
      </c>
      <c r="E22" s="2">
        <f t="shared" si="0"/>
        <v>1</v>
      </c>
      <c r="F22" s="35"/>
      <c r="G22" s="43"/>
      <c r="H22" s="35"/>
      <c r="I22" s="4">
        <v>-2.2649999999999988</v>
      </c>
      <c r="J22" s="15">
        <f>I22+I24*G$21+I26*G$24</f>
        <v>-2.7589999999999986</v>
      </c>
      <c r="K22" s="45"/>
      <c r="L22" s="4">
        <v>-0.8580000000000001</v>
      </c>
      <c r="M22" s="15">
        <f>L22+L24*J$24+L26*J$32+L28*J$40</f>
        <v>-0.8580000000000001</v>
      </c>
      <c r="N22" s="44"/>
      <c r="O22" s="4">
        <v>0.96800000000000053</v>
      </c>
      <c r="P22" s="15">
        <f>O22+O24*M$24+O26*M$34</f>
        <v>50.746949999999927</v>
      </c>
      <c r="Q22" s="50"/>
    </row>
    <row r="23" spans="1:17" x14ac:dyDescent="0.2">
      <c r="A23" s="49"/>
      <c r="B23" s="35"/>
      <c r="C23" s="35"/>
      <c r="D23" s="35"/>
      <c r="E23" s="35"/>
      <c r="F23" s="35"/>
      <c r="G23" s="42" t="s">
        <v>14</v>
      </c>
      <c r="H23" s="35"/>
      <c r="I23" s="6" t="s">
        <v>25</v>
      </c>
      <c r="J23" s="3" t="s">
        <v>37</v>
      </c>
      <c r="K23" s="43"/>
      <c r="L23" s="11" t="s">
        <v>25</v>
      </c>
      <c r="M23" s="12" t="s">
        <v>40</v>
      </c>
      <c r="N23" s="44"/>
      <c r="O23" s="11" t="s">
        <v>25</v>
      </c>
      <c r="P23" s="12" t="s">
        <v>12</v>
      </c>
      <c r="Q23" s="50"/>
    </row>
    <row r="24" spans="1:17" x14ac:dyDescent="0.2">
      <c r="A24" s="49"/>
      <c r="B24" s="35"/>
      <c r="C24" s="35"/>
      <c r="D24" s="35"/>
      <c r="E24" s="35"/>
      <c r="F24" s="35"/>
      <c r="G24" s="43">
        <f>VLOOKUP(C26,A19:C22,3)</f>
        <v>1</v>
      </c>
      <c r="H24" s="35"/>
      <c r="I24" s="4">
        <v>-0.3350000000000003</v>
      </c>
      <c r="J24" s="15">
        <f>MAX(0, J22)</f>
        <v>0</v>
      </c>
      <c r="K24" s="45"/>
      <c r="L24" s="4">
        <v>-3.2599999999999993</v>
      </c>
      <c r="M24" s="15">
        <f>MAX(0, M22)</f>
        <v>0</v>
      </c>
      <c r="N24" s="44"/>
      <c r="O24" s="4">
        <v>-9.5539999999999967</v>
      </c>
      <c r="P24" s="15">
        <f>1/(EXP(-P22)+1)</f>
        <v>1</v>
      </c>
      <c r="Q24" s="50"/>
    </row>
    <row r="25" spans="1:17" x14ac:dyDescent="0.2">
      <c r="A25" s="49"/>
      <c r="B25" s="35"/>
      <c r="C25" s="35"/>
      <c r="D25" s="35"/>
      <c r="E25" s="35"/>
      <c r="F25" s="35"/>
      <c r="G25" s="43"/>
      <c r="H25" s="35"/>
      <c r="I25" s="6" t="s">
        <v>26</v>
      </c>
      <c r="J25" s="13" t="s">
        <v>28</v>
      </c>
      <c r="K25" s="43"/>
      <c r="L25" s="11" t="s">
        <v>26</v>
      </c>
      <c r="M25" s="7" t="s">
        <v>28</v>
      </c>
      <c r="N25" s="44"/>
      <c r="O25" s="11" t="s">
        <v>26</v>
      </c>
      <c r="P25" s="7" t="s">
        <v>28</v>
      </c>
      <c r="Q25" s="50"/>
    </row>
    <row r="26" spans="1:17" x14ac:dyDescent="0.2">
      <c r="A26" s="49"/>
      <c r="B26" s="35" t="s">
        <v>23</v>
      </c>
      <c r="C26" s="35">
        <v>4</v>
      </c>
      <c r="D26" s="35"/>
      <c r="E26" s="35"/>
      <c r="F26" s="35"/>
      <c r="G26" s="35"/>
      <c r="H26" s="35"/>
      <c r="I26" s="4">
        <v>-0.15899999999999931</v>
      </c>
      <c r="J26" s="2" t="s">
        <v>29</v>
      </c>
      <c r="K26" s="43"/>
      <c r="L26" s="4">
        <v>6.8199999999999923</v>
      </c>
      <c r="M26" s="10" t="s">
        <v>29</v>
      </c>
      <c r="N26" s="44"/>
      <c r="O26" s="4">
        <v>7.2669999999999915</v>
      </c>
      <c r="P26" s="10" t="s">
        <v>45</v>
      </c>
      <c r="Q26" s="50"/>
    </row>
    <row r="27" spans="1:17" x14ac:dyDescent="0.2">
      <c r="A27" s="49"/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11" t="s">
        <v>36</v>
      </c>
      <c r="M27" s="27"/>
      <c r="N27" s="35"/>
      <c r="O27" s="35"/>
      <c r="P27" s="35"/>
      <c r="Q27" s="50"/>
    </row>
    <row r="28" spans="1:17" x14ac:dyDescent="0.2">
      <c r="A28" s="49"/>
      <c r="B28" s="35"/>
      <c r="C28" s="35"/>
      <c r="D28" s="35"/>
      <c r="E28" s="35"/>
      <c r="F28" s="35"/>
      <c r="G28" s="35"/>
      <c r="H28" s="35"/>
      <c r="I28" s="34" t="s">
        <v>31</v>
      </c>
      <c r="J28" s="34"/>
      <c r="K28" s="43"/>
      <c r="L28" s="4">
        <v>5.9050000000000002</v>
      </c>
      <c r="M28" s="28"/>
      <c r="N28" s="35"/>
      <c r="O28" s="35"/>
      <c r="P28" s="35"/>
      <c r="Q28" s="50"/>
    </row>
    <row r="29" spans="1:17" x14ac:dyDescent="0.2">
      <c r="A29" s="49"/>
      <c r="B29" s="35"/>
      <c r="C29" s="35"/>
      <c r="D29" s="35"/>
      <c r="E29" s="35"/>
      <c r="F29" s="35"/>
      <c r="G29" s="35"/>
      <c r="H29" s="35"/>
      <c r="I29" s="5" t="s">
        <v>24</v>
      </c>
      <c r="J29" s="14" t="s">
        <v>27</v>
      </c>
      <c r="K29" s="43"/>
      <c r="L29" s="35"/>
      <c r="M29" s="35"/>
      <c r="N29" s="35"/>
      <c r="O29" s="35"/>
      <c r="P29" s="35"/>
      <c r="Q29" s="50"/>
    </row>
    <row r="30" spans="1:17" x14ac:dyDescent="0.2">
      <c r="A30" s="49"/>
      <c r="B30" s="45"/>
      <c r="C30" s="35"/>
      <c r="D30" s="35"/>
      <c r="E30" s="35"/>
      <c r="F30" s="35"/>
      <c r="G30" s="35"/>
      <c r="H30" s="35"/>
      <c r="I30" s="4">
        <v>-0.13400000000000289</v>
      </c>
      <c r="J30" s="15">
        <f>I30+I32*G$21+I34*G$24</f>
        <v>-0.13100000000000467</v>
      </c>
      <c r="K30" s="43"/>
      <c r="L30" s="32" t="s">
        <v>34</v>
      </c>
      <c r="M30" s="32"/>
      <c r="N30" s="44"/>
      <c r="O30" s="35"/>
      <c r="P30" s="35"/>
      <c r="Q30" s="50"/>
    </row>
    <row r="31" spans="1:17" x14ac:dyDescent="0.2">
      <c r="A31" s="49"/>
      <c r="B31" s="45"/>
      <c r="C31" s="35"/>
      <c r="D31" s="35"/>
      <c r="E31" s="35"/>
      <c r="F31" s="35"/>
      <c r="G31" s="35"/>
      <c r="H31" s="35"/>
      <c r="I31" s="6" t="s">
        <v>25</v>
      </c>
      <c r="J31" s="3" t="s">
        <v>38</v>
      </c>
      <c r="K31" s="43"/>
      <c r="L31" s="8" t="s">
        <v>24</v>
      </c>
      <c r="M31" s="9" t="s">
        <v>42</v>
      </c>
      <c r="N31" s="44"/>
      <c r="O31" s="35"/>
      <c r="P31" s="35"/>
      <c r="Q31" s="50"/>
    </row>
    <row r="32" spans="1:17" x14ac:dyDescent="0.2">
      <c r="A32" s="49"/>
      <c r="B32" s="45"/>
      <c r="C32" s="35"/>
      <c r="D32" s="35"/>
      <c r="E32" s="35"/>
      <c r="F32" s="35"/>
      <c r="G32" s="35"/>
      <c r="H32" s="35"/>
      <c r="I32" s="4">
        <v>6.4320000000000004</v>
      </c>
      <c r="J32" s="15">
        <f>MAX(0, J30)</f>
        <v>0</v>
      </c>
      <c r="K32" s="43"/>
      <c r="L32" s="4">
        <v>6.8499999999999979</v>
      </c>
      <c r="M32" s="15">
        <f>L32+L34*J$24+L36*J$32+L38*J$40</f>
        <v>6.8499999999999979</v>
      </c>
      <c r="N32" s="44"/>
      <c r="O32" s="35"/>
      <c r="P32" s="35"/>
      <c r="Q32" s="50"/>
    </row>
    <row r="33" spans="1:17" x14ac:dyDescent="0.2">
      <c r="A33" s="49"/>
      <c r="B33" s="45"/>
      <c r="C33" s="35"/>
      <c r="D33" s="35"/>
      <c r="E33" s="35"/>
      <c r="F33" s="35"/>
      <c r="G33" s="35"/>
      <c r="H33" s="35"/>
      <c r="I33" s="6" t="s">
        <v>26</v>
      </c>
      <c r="J33" s="13" t="s">
        <v>28</v>
      </c>
      <c r="K33" s="43"/>
      <c r="L33" s="11" t="s">
        <v>25</v>
      </c>
      <c r="M33" s="12" t="s">
        <v>41</v>
      </c>
      <c r="N33" s="44"/>
      <c r="O33" s="35"/>
      <c r="P33" s="35"/>
      <c r="Q33" s="50"/>
    </row>
    <row r="34" spans="1:17" x14ac:dyDescent="0.2">
      <c r="A34" s="49"/>
      <c r="B34" s="45"/>
      <c r="C34" s="35"/>
      <c r="D34" s="35"/>
      <c r="E34" s="35"/>
      <c r="F34" s="35"/>
      <c r="G34" s="35"/>
      <c r="H34" s="35"/>
      <c r="I34" s="4">
        <v>-6.429000000000002</v>
      </c>
      <c r="J34" s="2" t="s">
        <v>29</v>
      </c>
      <c r="K34" s="43"/>
      <c r="L34" s="4">
        <v>-7.8370000000000024</v>
      </c>
      <c r="M34" s="15">
        <f>MAX(0, M32)</f>
        <v>6.8499999999999979</v>
      </c>
      <c r="N34" s="44"/>
      <c r="O34" s="35"/>
      <c r="P34" s="35"/>
      <c r="Q34" s="50"/>
    </row>
    <row r="35" spans="1:17" x14ac:dyDescent="0.2">
      <c r="A35" s="49"/>
      <c r="B35" s="45"/>
      <c r="C35" s="35"/>
      <c r="D35" s="35"/>
      <c r="E35" s="35"/>
      <c r="F35" s="35"/>
      <c r="G35" s="35"/>
      <c r="H35" s="35"/>
      <c r="I35" s="35"/>
      <c r="J35" s="35"/>
      <c r="K35" s="35"/>
      <c r="L35" s="11" t="s">
        <v>26</v>
      </c>
      <c r="M35" s="7" t="s">
        <v>28</v>
      </c>
      <c r="N35" s="44"/>
      <c r="O35" s="35"/>
      <c r="P35" s="35"/>
      <c r="Q35" s="50"/>
    </row>
    <row r="36" spans="1:17" x14ac:dyDescent="0.2">
      <c r="A36" s="49"/>
      <c r="B36" s="45"/>
      <c r="C36" s="35"/>
      <c r="D36" s="35"/>
      <c r="E36" s="35"/>
      <c r="F36" s="35"/>
      <c r="G36" s="35"/>
      <c r="H36" s="35"/>
      <c r="I36" s="34" t="s">
        <v>32</v>
      </c>
      <c r="J36" s="34"/>
      <c r="K36" s="43"/>
      <c r="L36" s="4">
        <v>-2.7450000000000001</v>
      </c>
      <c r="M36" s="10" t="s">
        <v>29</v>
      </c>
      <c r="N36" s="44"/>
      <c r="O36" s="35"/>
      <c r="P36" s="35"/>
      <c r="Q36" s="50"/>
    </row>
    <row r="37" spans="1:17" x14ac:dyDescent="0.2">
      <c r="A37" s="49"/>
      <c r="B37" s="45"/>
      <c r="C37" s="35"/>
      <c r="D37" s="35"/>
      <c r="E37" s="35"/>
      <c r="F37" s="35"/>
      <c r="G37" s="35"/>
      <c r="H37" s="35"/>
      <c r="I37" s="5" t="s">
        <v>24</v>
      </c>
      <c r="J37" s="14" t="s">
        <v>27</v>
      </c>
      <c r="K37" s="43"/>
      <c r="L37" s="11" t="s">
        <v>36</v>
      </c>
      <c r="M37" s="27"/>
      <c r="N37" s="35"/>
      <c r="O37" s="35"/>
      <c r="P37" s="35"/>
      <c r="Q37" s="50"/>
    </row>
    <row r="38" spans="1:17" x14ac:dyDescent="0.2">
      <c r="A38" s="49"/>
      <c r="B38" s="45"/>
      <c r="C38" s="35"/>
      <c r="D38" s="35"/>
      <c r="E38" s="35"/>
      <c r="F38" s="35"/>
      <c r="G38" s="35"/>
      <c r="H38" s="35"/>
      <c r="I38" s="4">
        <v>-0.54200000000000026</v>
      </c>
      <c r="J38" s="15">
        <f>I38+I40*G$21+I42*G$24</f>
        <v>-0.20000000000000018</v>
      </c>
      <c r="K38" s="43"/>
      <c r="L38" s="4">
        <v>-6.8150000000000013</v>
      </c>
      <c r="M38" s="28"/>
      <c r="N38" s="35"/>
      <c r="O38" s="35"/>
      <c r="P38" s="35"/>
      <c r="Q38" s="50"/>
    </row>
    <row r="39" spans="1:17" x14ac:dyDescent="0.2">
      <c r="A39" s="49"/>
      <c r="B39" s="45"/>
      <c r="C39" s="35"/>
      <c r="D39" s="35"/>
      <c r="E39" s="35"/>
      <c r="F39" s="35"/>
      <c r="G39" s="35"/>
      <c r="H39" s="35"/>
      <c r="I39" s="6" t="s">
        <v>25</v>
      </c>
      <c r="J39" s="3" t="s">
        <v>39</v>
      </c>
      <c r="K39" s="43"/>
      <c r="L39" s="35"/>
      <c r="M39" s="35"/>
      <c r="N39" s="35"/>
      <c r="O39" s="35"/>
      <c r="P39" s="35"/>
      <c r="Q39" s="50"/>
    </row>
    <row r="40" spans="1:17" x14ac:dyDescent="0.2">
      <c r="A40" s="49"/>
      <c r="B40" s="45"/>
      <c r="C40" s="35"/>
      <c r="D40" s="35"/>
      <c r="E40" s="35"/>
      <c r="F40" s="35"/>
      <c r="G40" s="35"/>
      <c r="H40" s="35"/>
      <c r="I40" s="4">
        <v>-7.1490000000000009</v>
      </c>
      <c r="J40" s="15">
        <f>MAX(0, J38)</f>
        <v>0</v>
      </c>
      <c r="K40" s="43"/>
      <c r="L40" s="35"/>
      <c r="M40" s="35"/>
      <c r="N40" s="35"/>
      <c r="O40" s="35"/>
      <c r="P40" s="35"/>
      <c r="Q40" s="50"/>
    </row>
    <row r="41" spans="1:17" x14ac:dyDescent="0.2">
      <c r="A41" s="49"/>
      <c r="B41" s="45"/>
      <c r="C41" s="35"/>
      <c r="D41" s="35"/>
      <c r="E41" s="35"/>
      <c r="F41" s="35"/>
      <c r="G41" s="35"/>
      <c r="H41" s="35"/>
      <c r="I41" s="6" t="s">
        <v>26</v>
      </c>
      <c r="J41" s="13" t="s">
        <v>28</v>
      </c>
      <c r="K41" s="43"/>
      <c r="L41" s="35"/>
      <c r="M41" s="35"/>
      <c r="N41" s="35"/>
      <c r="O41" s="35"/>
      <c r="P41" s="35"/>
      <c r="Q41" s="50"/>
    </row>
    <row r="42" spans="1:17" x14ac:dyDescent="0.2">
      <c r="A42" s="49"/>
      <c r="B42" s="45"/>
      <c r="C42" s="35"/>
      <c r="D42" s="35"/>
      <c r="E42" s="35"/>
      <c r="F42" s="35"/>
      <c r="G42" s="35"/>
      <c r="H42" s="35"/>
      <c r="I42" s="4">
        <v>7.4910000000000005</v>
      </c>
      <c r="J42" s="2" t="s">
        <v>29</v>
      </c>
      <c r="K42" s="43"/>
      <c r="L42" s="35">
        <f>SUM(I22,I24,I26,I30,I32,I34,I38,I40,I42,L22,L24,L26,L28,L32,L34,L36,L38,O22,O24,O26)</f>
        <v>-6.3490000000000224</v>
      </c>
      <c r="M42" s="35"/>
      <c r="N42" s="35"/>
      <c r="O42" s="35"/>
      <c r="P42" s="35"/>
      <c r="Q42" s="50"/>
    </row>
    <row r="43" spans="1:17" x14ac:dyDescent="0.2">
      <c r="A43" s="49"/>
      <c r="B43" s="45"/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50"/>
    </row>
    <row r="44" spans="1:17" x14ac:dyDescent="0.2">
      <c r="A44" s="49"/>
      <c r="B44" s="45"/>
      <c r="C44" s="35"/>
      <c r="D44" s="35"/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50"/>
    </row>
    <row r="45" spans="1:17" x14ac:dyDescent="0.2">
      <c r="A45" s="49"/>
      <c r="B45" s="45"/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50"/>
    </row>
    <row r="46" spans="1:17" x14ac:dyDescent="0.2">
      <c r="A46" s="49"/>
      <c r="B46" s="45"/>
      <c r="C46" s="35"/>
      <c r="D46" s="35"/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50"/>
    </row>
    <row r="47" spans="1:17" x14ac:dyDescent="0.2">
      <c r="A47" s="49"/>
      <c r="B47" s="45"/>
      <c r="C47" s="35"/>
      <c r="D47" s="35"/>
      <c r="E47" s="35"/>
      <c r="F47" s="35"/>
      <c r="G47" s="35"/>
      <c r="H47" s="35"/>
      <c r="I47" s="23" t="s">
        <v>46</v>
      </c>
      <c r="J47" s="24"/>
      <c r="K47" s="35"/>
      <c r="L47" s="29" t="s">
        <v>51</v>
      </c>
      <c r="M47" s="29"/>
      <c r="N47" s="35"/>
      <c r="O47" s="35"/>
      <c r="P47" s="35"/>
      <c r="Q47" s="50"/>
    </row>
    <row r="48" spans="1:17" x14ac:dyDescent="0.2">
      <c r="A48" s="49"/>
      <c r="B48" s="45"/>
      <c r="C48" s="35"/>
      <c r="D48" s="35"/>
      <c r="E48" s="35"/>
      <c r="F48" s="35"/>
      <c r="G48" s="35"/>
      <c r="H48" s="35"/>
      <c r="I48" s="4" t="s">
        <v>47</v>
      </c>
      <c r="J48" s="19">
        <f>P24</f>
        <v>1</v>
      </c>
      <c r="K48" s="35"/>
      <c r="L48" s="22" t="s">
        <v>52</v>
      </c>
      <c r="M48" s="2">
        <v>1000</v>
      </c>
      <c r="N48" s="35"/>
      <c r="O48" s="35"/>
      <c r="P48" s="35"/>
      <c r="Q48" s="50"/>
    </row>
    <row r="49" spans="1:17" x14ac:dyDescent="0.2">
      <c r="A49" s="49"/>
      <c r="B49" s="45"/>
      <c r="C49" s="35"/>
      <c r="D49" s="35"/>
      <c r="E49" s="35"/>
      <c r="F49" s="35"/>
      <c r="G49" s="35"/>
      <c r="H49" s="35"/>
      <c r="I49" s="4" t="s">
        <v>48</v>
      </c>
      <c r="J49" s="4">
        <f>VLOOKUP(C26,A19:E22,5)</f>
        <v>1</v>
      </c>
      <c r="K49" s="35"/>
      <c r="L49" s="35"/>
      <c r="M49" s="35"/>
      <c r="N49" s="35"/>
      <c r="O49" s="35"/>
      <c r="P49" s="35"/>
      <c r="Q49" s="50"/>
    </row>
    <row r="50" spans="1:17" x14ac:dyDescent="0.2">
      <c r="A50" s="49"/>
      <c r="B50" s="35"/>
      <c r="C50" s="35"/>
      <c r="D50" s="35"/>
      <c r="E50" s="35"/>
      <c r="F50" s="35"/>
      <c r="G50" s="35"/>
      <c r="H50" s="35"/>
      <c r="I50" s="25"/>
      <c r="J50" s="26"/>
      <c r="K50" s="35"/>
      <c r="L50" s="35"/>
      <c r="M50" s="35"/>
      <c r="N50" s="35"/>
      <c r="O50" s="35"/>
      <c r="P50" s="35"/>
      <c r="Q50" s="50"/>
    </row>
    <row r="51" spans="1:17" x14ac:dyDescent="0.2">
      <c r="A51" s="49"/>
      <c r="B51" s="35"/>
      <c r="C51" s="35"/>
      <c r="D51" s="35"/>
      <c r="E51" s="35"/>
      <c r="F51" s="35"/>
      <c r="G51" s="35"/>
      <c r="H51" s="35"/>
      <c r="I51" s="4" t="s">
        <v>49</v>
      </c>
      <c r="J51" s="19">
        <f>J49-J48</f>
        <v>0</v>
      </c>
      <c r="K51" s="35"/>
      <c r="L51" s="35"/>
      <c r="M51" s="35"/>
      <c r="N51" s="35"/>
      <c r="O51" s="35"/>
      <c r="P51" s="35"/>
      <c r="Q51" s="50"/>
    </row>
    <row r="52" spans="1:17" x14ac:dyDescent="0.2">
      <c r="A52" s="49"/>
      <c r="B52" s="35"/>
      <c r="C52" s="35"/>
      <c r="D52" s="35"/>
      <c r="E52" s="35"/>
      <c r="F52" s="35"/>
      <c r="G52" s="35"/>
      <c r="H52" s="35"/>
      <c r="I52" s="25"/>
      <c r="J52" s="26"/>
      <c r="K52" s="35"/>
      <c r="L52" s="35"/>
      <c r="M52" s="35"/>
      <c r="N52" s="35"/>
      <c r="O52" s="35"/>
      <c r="P52" s="35"/>
      <c r="Q52" s="50"/>
    </row>
    <row r="53" spans="1:17" x14ac:dyDescent="0.2">
      <c r="A53" s="49"/>
      <c r="B53" s="35"/>
      <c r="C53" s="35"/>
      <c r="D53" s="35"/>
      <c r="E53" s="35"/>
      <c r="F53" s="35"/>
      <c r="G53" s="35"/>
      <c r="H53" s="35"/>
      <c r="I53" s="20" t="s">
        <v>50</v>
      </c>
      <c r="J53" s="21">
        <f>J51^2</f>
        <v>0</v>
      </c>
      <c r="K53" s="35"/>
      <c r="L53" s="35"/>
      <c r="M53" s="35"/>
      <c r="N53" s="35"/>
      <c r="O53" s="35"/>
      <c r="P53" s="35"/>
      <c r="Q53" s="50"/>
    </row>
    <row r="54" spans="1:17" x14ac:dyDescent="0.2">
      <c r="A54" s="49"/>
      <c r="B54" s="35"/>
      <c r="C54" s="35"/>
      <c r="D54" s="35"/>
      <c r="E54" s="35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50"/>
    </row>
    <row r="55" spans="1:17" x14ac:dyDescent="0.2">
      <c r="A55" s="49"/>
      <c r="B55" s="35"/>
      <c r="C55" s="35"/>
      <c r="D55" s="35"/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50"/>
    </row>
    <row r="56" spans="1:17" x14ac:dyDescent="0.2">
      <c r="A56" s="57"/>
      <c r="B56" s="58"/>
      <c r="C56" s="58"/>
      <c r="D56" s="58"/>
      <c r="E56" s="58"/>
      <c r="F56" s="58"/>
      <c r="G56" s="58"/>
      <c r="H56" s="58"/>
      <c r="I56" s="58"/>
      <c r="J56" s="58"/>
      <c r="K56" s="58"/>
      <c r="L56" s="58"/>
      <c r="M56" s="58"/>
      <c r="N56" s="58"/>
      <c r="O56" s="58"/>
      <c r="P56" s="58"/>
      <c r="Q56" s="59"/>
    </row>
    <row r="57" spans="1:17" x14ac:dyDescent="0.2">
      <c r="A57" s="35"/>
      <c r="B57" s="35"/>
      <c r="C57" s="35"/>
      <c r="D57" s="35"/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</row>
  </sheetData>
  <scenarios current="0">
    <scenario name="solver1" count="20" user="Alan Badillo Salas" comment="Creado por Alan Badillo Salas el 7/16/2025">
      <inputCells r="I22" val="2453.50242135239"/>
      <inputCells r="I24" val="0"/>
      <inputCells r="I26" val="0"/>
      <inputCells r="I30" val="0"/>
      <inputCells r="I32" val="0.0414271758021756"/>
      <inputCells r="I34" val="0.0617272191289583"/>
      <inputCells r="I38" val="0"/>
      <inputCells r="I40" val="0"/>
      <inputCells r="I42" val="0"/>
      <inputCells r="L22" val="0"/>
      <inputCells r="L24" val="0.00822887774301619"/>
      <inputCells r="L26" val="0.0537034331294933"/>
      <inputCells r="L28" val="0"/>
      <inputCells r="L32" val="816314.034521532"/>
      <inputCells r="L34" val="10714.3717681214"/>
      <inputCells r="L36" val="0"/>
      <inputCells r="L38" val="0"/>
      <inputCells r="O22" val="657305.657416216"/>
      <inputCells r="O24" val="0"/>
      <inputCells r="O26" val="13990.384458071"/>
    </scenario>
  </scenarios>
  <mergeCells count="23">
    <mergeCell ref="A1:Q1"/>
    <mergeCell ref="A3:Q3"/>
    <mergeCell ref="A4:Q4"/>
    <mergeCell ref="A6:Q6"/>
    <mergeCell ref="I20:J20"/>
    <mergeCell ref="L20:M20"/>
    <mergeCell ref="O20:P20"/>
    <mergeCell ref="B16:C16"/>
    <mergeCell ref="G14:P14"/>
    <mergeCell ref="C9:F9"/>
    <mergeCell ref="C11:F11"/>
    <mergeCell ref="C12:F12"/>
    <mergeCell ref="B8:F8"/>
    <mergeCell ref="L30:M30"/>
    <mergeCell ref="B10:F10"/>
    <mergeCell ref="I28:J28"/>
    <mergeCell ref="I47:J47"/>
    <mergeCell ref="I50:J50"/>
    <mergeCell ref="I52:J52"/>
    <mergeCell ref="M27:M28"/>
    <mergeCell ref="M37:M38"/>
    <mergeCell ref="L47:M47"/>
    <mergeCell ref="I36:J3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Drop Down 2">
              <controlPr defaultSize="0" autoLine="0" autoPict="0">
                <anchor moveWithCells="1">
                  <from>
                    <xdr:col>1</xdr:col>
                    <xdr:colOff>812800</xdr:colOff>
                    <xdr:row>24</xdr:row>
                    <xdr:rowOff>190500</xdr:rowOff>
                  </from>
                  <to>
                    <xdr:col>3</xdr:col>
                    <xdr:colOff>38100</xdr:colOff>
                    <xdr:row>26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Optimizador_Estocastico" altText="Entrenar">
                <anchor moveWithCells="1" sizeWithCells="1">
                  <from>
                    <xdr:col>15</xdr:col>
                    <xdr:colOff>12700</xdr:colOff>
                    <xdr:row>45</xdr:row>
                    <xdr:rowOff>203200</xdr:rowOff>
                  </from>
                  <to>
                    <xdr:col>15</xdr:col>
                    <xdr:colOff>1524000</xdr:colOff>
                    <xdr:row>47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ReiniciarPesos">
                <anchor moveWithCells="1" sizeWithCells="1">
                  <from>
                    <xdr:col>15</xdr:col>
                    <xdr:colOff>0</xdr:colOff>
                    <xdr:row>49</xdr:row>
                    <xdr:rowOff>0</xdr:rowOff>
                  </from>
                  <to>
                    <xdr:col>15</xdr:col>
                    <xdr:colOff>1524000</xdr:colOff>
                    <xdr:row>50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A1FA11-8A5B-6E49-8A9D-6CC49594689A}">
  <sheetPr codeName="Hoja2"/>
  <dimension ref="A1:J31"/>
  <sheetViews>
    <sheetView workbookViewId="0">
      <selection activeCell="J28" sqref="J28"/>
    </sheetView>
  </sheetViews>
  <sheetFormatPr baseColWidth="10" defaultRowHeight="16" x14ac:dyDescent="0.2"/>
  <cols>
    <col min="1" max="1" width="16" customWidth="1"/>
    <col min="2" max="2" width="17.5" customWidth="1"/>
    <col min="3" max="3" width="20.1640625" customWidth="1"/>
    <col min="4" max="4" width="34.33203125" customWidth="1"/>
    <col min="6" max="6" width="13.83203125" customWidth="1"/>
    <col min="7" max="7" width="33.6640625" customWidth="1"/>
    <col min="8" max="8" width="12.1640625" customWidth="1"/>
    <col min="10" max="10" width="33.83203125" customWidth="1"/>
  </cols>
  <sheetData>
    <row r="1" spans="1:10" x14ac:dyDescent="0.2">
      <c r="A1" s="60" t="s">
        <v>17</v>
      </c>
      <c r="B1" s="60"/>
      <c r="C1" s="60"/>
      <c r="D1" s="60"/>
      <c r="E1" s="60"/>
      <c r="F1" s="60"/>
      <c r="G1" s="60"/>
      <c r="H1" s="60"/>
      <c r="I1" s="60"/>
      <c r="J1" s="60"/>
    </row>
    <row r="2" spans="1:10" x14ac:dyDescent="0.2">
      <c r="A2" s="35"/>
      <c r="B2" s="35"/>
      <c r="C2" s="35"/>
      <c r="D2" s="35"/>
      <c r="E2" s="35"/>
      <c r="F2" s="35"/>
      <c r="G2" s="35"/>
      <c r="H2" s="35"/>
      <c r="I2" s="35"/>
      <c r="J2" s="35"/>
    </row>
    <row r="3" spans="1:10" x14ac:dyDescent="0.2">
      <c r="A3" s="35" t="s">
        <v>18</v>
      </c>
      <c r="B3" s="35"/>
      <c r="C3" s="35"/>
      <c r="D3" s="35"/>
      <c r="E3" s="35"/>
      <c r="F3" s="35"/>
      <c r="G3" s="35"/>
      <c r="H3" s="35"/>
      <c r="I3" s="35"/>
      <c r="J3" s="35"/>
    </row>
    <row r="4" spans="1:10" x14ac:dyDescent="0.2">
      <c r="A4" s="35"/>
      <c r="B4" s="35"/>
      <c r="C4" s="35"/>
      <c r="D4" s="35"/>
      <c r="E4" s="35"/>
      <c r="F4" s="35"/>
      <c r="G4" s="35"/>
      <c r="H4" s="35"/>
      <c r="I4" s="35"/>
      <c r="J4" s="35"/>
    </row>
    <row r="5" spans="1:10" x14ac:dyDescent="0.2">
      <c r="A5" s="35" t="s">
        <v>19</v>
      </c>
      <c r="B5" s="35"/>
      <c r="C5" s="35" t="s">
        <v>20</v>
      </c>
      <c r="D5" s="35"/>
      <c r="E5" s="35"/>
      <c r="F5" s="35" t="s">
        <v>21</v>
      </c>
      <c r="G5" s="35"/>
      <c r="H5" s="35"/>
      <c r="I5" s="35" t="s">
        <v>22</v>
      </c>
      <c r="J5" s="35"/>
    </row>
    <row r="6" spans="1:10" x14ac:dyDescent="0.2">
      <c r="A6" s="35"/>
      <c r="B6" s="35"/>
      <c r="C6" s="35"/>
      <c r="D6" s="35"/>
      <c r="E6" s="35"/>
      <c r="F6" s="35"/>
      <c r="G6" s="35"/>
      <c r="H6" s="35"/>
      <c r="I6" s="35"/>
      <c r="J6" s="35"/>
    </row>
    <row r="7" spans="1:10" x14ac:dyDescent="0.2">
      <c r="A7" s="42" t="s">
        <v>13</v>
      </c>
      <c r="B7" s="35"/>
      <c r="C7" s="34" t="s">
        <v>30</v>
      </c>
      <c r="D7" s="34"/>
      <c r="E7" s="43"/>
      <c r="F7" s="32" t="s">
        <v>33</v>
      </c>
      <c r="G7" s="32"/>
      <c r="H7" s="44"/>
      <c r="I7" s="32" t="s">
        <v>35</v>
      </c>
      <c r="J7" s="32"/>
    </row>
    <row r="8" spans="1:10" x14ac:dyDescent="0.2">
      <c r="A8" s="43">
        <v>0</v>
      </c>
      <c r="B8" s="35"/>
      <c r="C8" s="5" t="s">
        <v>24</v>
      </c>
      <c r="D8" s="14" t="s">
        <v>27</v>
      </c>
      <c r="E8" s="43"/>
      <c r="F8" s="8" t="s">
        <v>24</v>
      </c>
      <c r="G8" s="9" t="s">
        <v>42</v>
      </c>
      <c r="H8" s="44"/>
      <c r="I8" s="8" t="s">
        <v>24</v>
      </c>
      <c r="J8" s="9" t="s">
        <v>44</v>
      </c>
    </row>
    <row r="9" spans="1:10" x14ac:dyDescent="0.2">
      <c r="A9" s="43"/>
      <c r="B9" s="35"/>
      <c r="C9" s="4">
        <v>-2.2649999999999988</v>
      </c>
      <c r="D9" s="15">
        <v>-2.2649999999999988</v>
      </c>
      <c r="E9" s="45"/>
      <c r="F9" s="4">
        <v>-0.8580000000000001</v>
      </c>
      <c r="G9" s="15">
        <v>-0.8580000000000001</v>
      </c>
      <c r="H9" s="44"/>
      <c r="I9" s="4">
        <v>0.96800000000000053</v>
      </c>
      <c r="J9" s="15">
        <v>50.746949999999927</v>
      </c>
    </row>
    <row r="10" spans="1:10" x14ac:dyDescent="0.2">
      <c r="A10" s="42" t="s">
        <v>14</v>
      </c>
      <c r="B10" s="35"/>
      <c r="C10" s="6" t="s">
        <v>25</v>
      </c>
      <c r="D10" s="3" t="s">
        <v>37</v>
      </c>
      <c r="E10" s="43"/>
      <c r="F10" s="11" t="s">
        <v>25</v>
      </c>
      <c r="G10" s="12" t="s">
        <v>40</v>
      </c>
      <c r="H10" s="44"/>
      <c r="I10" s="11" t="s">
        <v>25</v>
      </c>
      <c r="J10" s="12" t="s">
        <v>12</v>
      </c>
    </row>
    <row r="11" spans="1:10" x14ac:dyDescent="0.2">
      <c r="A11" s="43">
        <v>0</v>
      </c>
      <c r="B11" s="35"/>
      <c r="C11" s="4">
        <v>-0.3350000000000003</v>
      </c>
      <c r="D11" s="15">
        <v>0</v>
      </c>
      <c r="E11" s="45"/>
      <c r="F11" s="4">
        <v>-3.2599999999999993</v>
      </c>
      <c r="G11" s="15">
        <v>0</v>
      </c>
      <c r="H11" s="44"/>
      <c r="I11" s="4">
        <v>-9.5539999999999967</v>
      </c>
      <c r="J11" s="15">
        <v>1</v>
      </c>
    </row>
    <row r="12" spans="1:10" x14ac:dyDescent="0.2">
      <c r="A12" s="43"/>
      <c r="B12" s="35"/>
      <c r="C12" s="6" t="s">
        <v>26</v>
      </c>
      <c r="D12" s="13" t="s">
        <v>28</v>
      </c>
      <c r="E12" s="43"/>
      <c r="F12" s="11" t="s">
        <v>26</v>
      </c>
      <c r="G12" s="7" t="s">
        <v>28</v>
      </c>
      <c r="H12" s="44"/>
      <c r="I12" s="11" t="s">
        <v>26</v>
      </c>
      <c r="J12" s="7" t="s">
        <v>28</v>
      </c>
    </row>
    <row r="13" spans="1:10" x14ac:dyDescent="0.2">
      <c r="A13" s="35"/>
      <c r="B13" s="35"/>
      <c r="C13" s="4">
        <v>-0.15899999999999931</v>
      </c>
      <c r="D13" s="2" t="s">
        <v>29</v>
      </c>
      <c r="E13" s="43"/>
      <c r="F13" s="4">
        <v>6.8199999999999923</v>
      </c>
      <c r="G13" s="10" t="s">
        <v>29</v>
      </c>
      <c r="H13" s="44"/>
      <c r="I13" s="4">
        <v>7.2669999999999915</v>
      </c>
      <c r="J13" s="10" t="s">
        <v>45</v>
      </c>
    </row>
    <row r="14" spans="1:10" x14ac:dyDescent="0.2">
      <c r="A14" s="35"/>
      <c r="B14" s="35"/>
      <c r="C14" s="35"/>
      <c r="D14" s="35"/>
      <c r="E14" s="35"/>
      <c r="F14" s="11" t="s">
        <v>36</v>
      </c>
      <c r="G14" s="27"/>
      <c r="H14" s="35"/>
      <c r="I14" s="35"/>
      <c r="J14" s="35"/>
    </row>
    <row r="15" spans="1:10" x14ac:dyDescent="0.2">
      <c r="A15" s="35"/>
      <c r="B15" s="35"/>
      <c r="C15" s="34" t="s">
        <v>31</v>
      </c>
      <c r="D15" s="34"/>
      <c r="E15" s="43"/>
      <c r="F15" s="4">
        <v>5.9050000000000002</v>
      </c>
      <c r="G15" s="28"/>
      <c r="H15" s="35"/>
      <c r="I15" s="35"/>
      <c r="J15" s="35"/>
    </row>
    <row r="16" spans="1:10" x14ac:dyDescent="0.2">
      <c r="A16" s="35"/>
      <c r="B16" s="35"/>
      <c r="C16" s="5" t="s">
        <v>24</v>
      </c>
      <c r="D16" s="14" t="s">
        <v>27</v>
      </c>
      <c r="E16" s="43"/>
      <c r="F16" s="35"/>
      <c r="G16" s="35"/>
      <c r="H16" s="35"/>
      <c r="I16" s="35"/>
      <c r="J16" s="35"/>
    </row>
    <row r="17" spans="1:10" x14ac:dyDescent="0.2">
      <c r="A17" s="35"/>
      <c r="B17" s="35"/>
      <c r="C17" s="4">
        <v>-0.13400000000000289</v>
      </c>
      <c r="D17" s="15">
        <v>-0.13400000000000289</v>
      </c>
      <c r="E17" s="43"/>
      <c r="F17" s="32" t="s">
        <v>34</v>
      </c>
      <c r="G17" s="32"/>
      <c r="H17" s="44"/>
      <c r="I17" s="35"/>
      <c r="J17" s="35"/>
    </row>
    <row r="18" spans="1:10" x14ac:dyDescent="0.2">
      <c r="A18" s="35"/>
      <c r="B18" s="35"/>
      <c r="C18" s="6" t="s">
        <v>25</v>
      </c>
      <c r="D18" s="3" t="s">
        <v>38</v>
      </c>
      <c r="E18" s="43"/>
      <c r="F18" s="8" t="s">
        <v>24</v>
      </c>
      <c r="G18" s="9" t="s">
        <v>42</v>
      </c>
      <c r="H18" s="44"/>
      <c r="I18" s="35"/>
      <c r="J18" s="35"/>
    </row>
    <row r="19" spans="1:10" x14ac:dyDescent="0.2">
      <c r="A19" s="35"/>
      <c r="B19" s="35"/>
      <c r="C19" s="4">
        <v>6.4320000000000004</v>
      </c>
      <c r="D19" s="15">
        <v>0</v>
      </c>
      <c r="E19" s="43"/>
      <c r="F19" s="4">
        <v>6.8499999999999979</v>
      </c>
      <c r="G19" s="15">
        <v>6.8499999999999979</v>
      </c>
      <c r="H19" s="44"/>
      <c r="I19" s="35"/>
      <c r="J19" s="35"/>
    </row>
    <row r="20" spans="1:10" x14ac:dyDescent="0.2">
      <c r="A20" s="35"/>
      <c r="B20" s="35"/>
      <c r="C20" s="6" t="s">
        <v>26</v>
      </c>
      <c r="D20" s="13" t="s">
        <v>28</v>
      </c>
      <c r="E20" s="43"/>
      <c r="F20" s="11" t="s">
        <v>25</v>
      </c>
      <c r="G20" s="12" t="s">
        <v>41</v>
      </c>
      <c r="H20" s="44"/>
      <c r="I20" s="35"/>
      <c r="J20" s="35"/>
    </row>
    <row r="21" spans="1:10" x14ac:dyDescent="0.2">
      <c r="A21" s="35"/>
      <c r="B21" s="35"/>
      <c r="C21" s="4">
        <v>-6.429000000000002</v>
      </c>
      <c r="D21" s="2" t="s">
        <v>29</v>
      </c>
      <c r="E21" s="43"/>
      <c r="F21" s="4">
        <v>-7.8370000000000024</v>
      </c>
      <c r="G21" s="15">
        <v>6.8499999999999979</v>
      </c>
      <c r="H21" s="44"/>
      <c r="I21" s="35"/>
      <c r="J21" s="35"/>
    </row>
    <row r="22" spans="1:10" x14ac:dyDescent="0.2">
      <c r="A22" s="35"/>
      <c r="B22" s="35"/>
      <c r="C22" s="35"/>
      <c r="D22" s="35"/>
      <c r="E22" s="35"/>
      <c r="F22" s="11" t="s">
        <v>26</v>
      </c>
      <c r="G22" s="7" t="s">
        <v>28</v>
      </c>
      <c r="H22" s="44"/>
      <c r="I22" s="35"/>
      <c r="J22" s="35"/>
    </row>
    <row r="23" spans="1:10" x14ac:dyDescent="0.2">
      <c r="A23" s="35"/>
      <c r="B23" s="35"/>
      <c r="C23" s="34" t="s">
        <v>32</v>
      </c>
      <c r="D23" s="34"/>
      <c r="E23" s="43"/>
      <c r="F23" s="4">
        <v>-2.7450000000000001</v>
      </c>
      <c r="G23" s="10" t="s">
        <v>29</v>
      </c>
      <c r="H23" s="44"/>
      <c r="I23" s="35"/>
      <c r="J23" s="35"/>
    </row>
    <row r="24" spans="1:10" x14ac:dyDescent="0.2">
      <c r="A24" s="35"/>
      <c r="B24" s="35"/>
      <c r="C24" s="5" t="s">
        <v>24</v>
      </c>
      <c r="D24" s="14" t="s">
        <v>27</v>
      </c>
      <c r="E24" s="43"/>
      <c r="F24" s="11" t="s">
        <v>36</v>
      </c>
      <c r="G24" s="27"/>
      <c r="H24" s="35"/>
      <c r="I24" s="35"/>
      <c r="J24" s="35"/>
    </row>
    <row r="25" spans="1:10" x14ac:dyDescent="0.2">
      <c r="A25" s="35"/>
      <c r="B25" s="35"/>
      <c r="C25" s="4">
        <v>-0.54200000000000026</v>
      </c>
      <c r="D25" s="15">
        <v>-0.54200000000000026</v>
      </c>
      <c r="E25" s="43"/>
      <c r="F25" s="4">
        <v>-6.8150000000000013</v>
      </c>
      <c r="G25" s="28"/>
      <c r="H25" s="35"/>
      <c r="I25" s="35"/>
      <c r="J25" s="35"/>
    </row>
    <row r="26" spans="1:10" x14ac:dyDescent="0.2">
      <c r="A26" s="35"/>
      <c r="B26" s="35"/>
      <c r="C26" s="6" t="s">
        <v>25</v>
      </c>
      <c r="D26" s="3" t="s">
        <v>39</v>
      </c>
      <c r="E26" s="43"/>
      <c r="F26" s="35"/>
      <c r="G26" s="35"/>
      <c r="H26" s="35"/>
      <c r="I26" s="35"/>
      <c r="J26" s="35"/>
    </row>
    <row r="27" spans="1:10" x14ac:dyDescent="0.2">
      <c r="A27" s="35"/>
      <c r="B27" s="35"/>
      <c r="C27" s="4">
        <v>-7.1490000000000009</v>
      </c>
      <c r="D27" s="15">
        <v>0</v>
      </c>
      <c r="E27" s="43"/>
      <c r="F27" s="35"/>
      <c r="G27" s="35"/>
      <c r="H27" s="35"/>
      <c r="I27" s="35"/>
      <c r="J27" s="35"/>
    </row>
    <row r="28" spans="1:10" x14ac:dyDescent="0.2">
      <c r="A28" s="35"/>
      <c r="B28" s="35"/>
      <c r="C28" s="6" t="s">
        <v>26</v>
      </c>
      <c r="D28" s="13" t="s">
        <v>28</v>
      </c>
      <c r="E28" s="43"/>
      <c r="F28" s="35"/>
      <c r="G28" s="35"/>
      <c r="H28" s="35"/>
      <c r="I28" s="35"/>
      <c r="J28" s="35"/>
    </row>
    <row r="29" spans="1:10" x14ac:dyDescent="0.2">
      <c r="A29" s="35"/>
      <c r="B29" s="35"/>
      <c r="C29" s="4">
        <v>7.4910000000000005</v>
      </c>
      <c r="D29" s="2" t="s">
        <v>29</v>
      </c>
      <c r="E29" s="43"/>
      <c r="F29" s="35">
        <v>-6.3490000000000224</v>
      </c>
      <c r="G29" s="35"/>
      <c r="H29" s="35"/>
      <c r="I29" s="35"/>
      <c r="J29" s="35"/>
    </row>
    <row r="30" spans="1:10" x14ac:dyDescent="0.2">
      <c r="A30" s="61"/>
      <c r="B30" s="61"/>
      <c r="C30" s="61"/>
      <c r="D30" s="61"/>
      <c r="E30" s="61"/>
      <c r="F30" s="61"/>
      <c r="G30" s="61"/>
      <c r="H30" s="61"/>
      <c r="I30" s="61"/>
      <c r="J30" s="61"/>
    </row>
    <row r="31" spans="1:10" x14ac:dyDescent="0.2">
      <c r="A31" s="35"/>
      <c r="B31" s="35"/>
      <c r="C31" s="35"/>
      <c r="D31" s="35"/>
      <c r="E31" s="35"/>
      <c r="F31" s="35"/>
      <c r="G31" s="35"/>
      <c r="H31" s="35"/>
      <c r="I31" s="35"/>
      <c r="J31" s="35"/>
    </row>
  </sheetData>
  <mergeCells count="9">
    <mergeCell ref="F17:G17"/>
    <mergeCell ref="C23:D23"/>
    <mergeCell ref="G24:G25"/>
    <mergeCell ref="A1:J1"/>
    <mergeCell ref="C7:D7"/>
    <mergeCell ref="F7:G7"/>
    <mergeCell ref="I7:J7"/>
    <mergeCell ref="G14:G15"/>
    <mergeCell ref="C15:D1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Badillo Salas</dc:creator>
  <cp:lastModifiedBy>Alan Badillo Salas</cp:lastModifiedBy>
  <dcterms:created xsi:type="dcterms:W3CDTF">2025-07-16T16:44:55Z</dcterms:created>
  <dcterms:modified xsi:type="dcterms:W3CDTF">2025-07-16T18:57:26Z</dcterms:modified>
</cp:coreProperties>
</file>